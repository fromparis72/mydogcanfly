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Cibles" sheetId="2" state="visible" r:id="rId4"/>
    <sheet name="Angles" sheetId="3" state="visible" r:id="rId5"/>
    <sheet name="Calendri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<sst xmlns="http://schemas.openxmlformats.org/spreadsheetml/2006/main" count="286" uniqueCount="217">
  <si>
    <t xml:space="preserve">MyDogCanFly — cibles presse et partenariats pour le lancement</t>
  </si>
  <si>
    <t xml:space="preserve">Établi le 30 juillet 2026</t>
  </si>
  <si>
    <t xml:space="preserve">CE QUE CE FICHIER EST, ET CE QU'IL N'EST PAS</t>
  </si>
  <si>
    <t xml:space="preserve">La colonne « Statut » sépare deux choses : ce que j'ai vérifié par recherche le 30/07/2026, et ce qui reste à confirmer. Aucune adresse e-mail n'est inventée : quand je n'ai pas la personne, je donne la page officielle où la trouver. Une liste de presse remplie d'adresses plausibles mais fausses coûte plus cher qu'une liste courte et juste.</t>
  </si>
  <si>
    <t xml:space="preserve">LE POINT DE CALENDRIER QUI CHANGE LA STRATÉGIE</t>
  </si>
  <si>
    <t xml:space="preserve">Viser « la fin des vacances » ne veut pas dire la même chose selon le média. Un bimestriel imprimé boucle deux à trois mois avant parution : fin juillet, le numéro de septembre est déjà parti chez l'imprimeur. Un site d'actualité, un média professionnel ou un blog publient en quelques jours.</t>
  </si>
  <si>
    <t xml:space="preserve">Conséquence : la fenêtre de rentrée est jouable pour le web, la presse professionnelle et les blogs. Pour le papier, la cible réaliste est le numéro de novembre-décembre — voyages de fin d'année avec un animal — qu'il faut proposer en août ou début septembre.</t>
  </si>
  <si>
    <t xml:space="preserve">CE QUI FAIT UN SUJET, ET CE QUI N'EN FAIT PAS</t>
  </si>
  <si>
    <t xml:space="preserve">« Un nouveau site existe » n'est pas un sujet. Un chiffre vérifiable qui contredit ce que le lecteur croit en est un. L'onglet « Angles » propose six accroches tirées de la base du site, chacune avec son chiffre exact et le moyen de le recompter.</t>
  </si>
  <si>
    <t xml:space="preserve">Décompte des cibles par priorité</t>
  </si>
  <si>
    <t xml:space="preserve">Priorité 1 — à contacter en premier</t>
  </si>
  <si>
    <t xml:space="preserve">Priorité 2</t>
  </si>
  <si>
    <t xml:space="preserve">Priorité 3</t>
  </si>
  <si>
    <t xml:space="preserve">Prio</t>
  </si>
  <si>
    <t xml:space="preserve">Catégorie</t>
  </si>
  <si>
    <t xml:space="preserve">Nom</t>
  </si>
  <si>
    <t xml:space="preserve">Langue</t>
  </si>
  <si>
    <t xml:space="preserve">Type</t>
  </si>
  <si>
    <t xml:space="preserve">Pourquoi eux</t>
  </si>
  <si>
    <t xml:space="preserve">Angle conseillé</t>
  </si>
  <si>
    <t xml:space="preserve">Délai de bouclage</t>
  </si>
  <si>
    <t xml:space="preserve">Où trouver le contact</t>
  </si>
  <si>
    <t xml:space="preserve">Statut</t>
  </si>
  <si>
    <t xml:space="preserve">Compagnies — magazine de bord</t>
  </si>
  <si>
    <t xml:space="preserve">EnVols (Air France)</t>
  </si>
  <si>
    <t xml:space="preserve">FR/EN</t>
  </si>
  <si>
    <t xml:space="preserve">Bimestriel imprimé + numérique, 150 000 ex.</t>
  </si>
  <si>
    <t xml:space="preserve">Le magazine d'Air France depuis mai 2022 ; il a remplacé Air France Magazine et Air France Madame, tous deux arrêtés. Contenu voyage, vendu 8 € en kiosque et distribué en salons à CDG et Orly.</t>
  </si>
  <si>
    <t xml:space="preserve">Voyager avec son chien : ce qu'Air France autorise vraiment, et ce que font les autres</t>
  </si>
  <si>
    <t xml:space="preserve">2 à 3 mois — viser le numéro de fin d'année</t>
  </si>
  <si>
    <t xml:space="preserve">corporate.airfrance.com/fr/envols-le-media-de-levasion</t>
  </si>
  <si>
    <t xml:space="preserve">Vérifié 30/07/2026</t>
  </si>
  <si>
    <t xml:space="preserve">Reworld Media (éditeur délégué d'EnVols)</t>
  </si>
  <si>
    <t xml:space="preserve">FR</t>
  </si>
  <si>
    <t xml:space="preserve">Groupe de presse magazine</t>
  </si>
  <si>
    <t xml:space="preserve">C'est Reworld Media qui développe EnVols pour Air France. Le groupe édite par ailleurs un large portefeuille de magazines grand public : une seule porte d'entrée peut ouvrir plusieurs titres.</t>
  </si>
  <si>
    <t xml:space="preserve">Proposer un sujet transversal : le voyage animalier comme tendance de consommation</t>
  </si>
  <si>
    <t xml:space="preserve">Variable selon les titres</t>
  </si>
  <si>
    <t xml:space="preserve">reworldmedia.com — rubrique contact / marques</t>
  </si>
  <si>
    <t xml:space="preserve">Compagnies — régie</t>
  </si>
  <si>
    <t xml:space="preserve">IMM International</t>
  </si>
  <si>
    <t xml:space="preserve">Régie publicitaire inflight Air France</t>
  </si>
  <si>
    <t xml:space="preserve">Attention : c'est une régie PUBLICITAIRE, pas une rédaction. À contacter seulement si tu envisages d'acheter de l'espace, pas pour obtenir un article.</t>
  </si>
  <si>
    <t xml:space="preserve">Sans objet en relations presse — à réserver à un budget média</t>
  </si>
  <si>
    <t xml:space="preserve">Sans objet</t>
  </si>
  <si>
    <t xml:space="preserve">imm-international.com</t>
  </si>
  <si>
    <t xml:space="preserve">Autres compagnies (à cribler une par une)</t>
  </si>
  <si>
    <t xml:space="preserve">Multi</t>
  </si>
  <si>
    <t xml:space="preserve">Magazines de bord</t>
  </si>
  <si>
    <t xml:space="preserve">Beaucoup de compagnies ont supprimé leur magazine papier depuis 2020. Ne pas présumer qu'il existe : vérifier compagnie par compagnie avant d'écrire, en commençant par celles que le site note le mieux.</t>
  </si>
  <si>
    <t xml:space="preserve">Même angle qu'EnVols, décliné au réseau de la compagnie</t>
  </si>
  <si>
    <t xml:space="preserve">2 à 3 mois quand le titre existe</t>
  </si>
  <si>
    <t xml:space="preserve">Salle de presse de chaque compagnie</t>
  </si>
  <si>
    <t xml:space="preserve">À vérifier</t>
  </si>
  <si>
    <t xml:space="preserve">Presse pro tourisme</t>
  </si>
  <si>
    <t xml:space="preserve">TourMaG.com</t>
  </si>
  <si>
    <t xml:space="preserve">Quotidien en ligne, professionnels du tourisme</t>
  </si>
  <si>
    <t xml:space="preserve">Média de référence des professionnels du voyage, publication quotidienne : délai court, appétit pour les données et les outils.</t>
  </si>
  <si>
    <t xml:space="preserve">Une base de 78 politiques animaux comparées : ce que les agences ignorent encore</t>
  </si>
  <si>
    <t xml:space="preserve">Quelques jours</t>
  </si>
  <si>
    <t xml:space="preserve">tourmag.com — rubrique contact</t>
  </si>
  <si>
    <t xml:space="preserve">L'Écho Touristique</t>
  </si>
  <si>
    <t xml:space="preserve">Média professionnel, depuis 1934</t>
  </si>
  <si>
    <t xml:space="preserve">Premier média des professionnels du tourisme, avec une rubrique aérien suivie. Public prescripteur : agences, tour-opérateurs.</t>
  </si>
  <si>
    <t xml:space="preserve">Le transport animalier, angle mort de la vente de voyages</t>
  </si>
  <si>
    <t xml:space="preserve">lechotouristique.com — rubrique contact</t>
  </si>
  <si>
    <t xml:space="preserve">Déplacements Pros</t>
  </si>
  <si>
    <t xml:space="preserve">Média professionnel du voyage d'affaires</t>
  </si>
  <si>
    <t xml:space="preserve">Cité parmi les titres professionnels du secteur. Angle voyage d'affaires avec animal, plus étroit mais peu traité.</t>
  </si>
  <si>
    <t xml:space="preserve">Expatriation et mobilité : déménager avec son chien</t>
  </si>
  <si>
    <t xml:space="preserve">deplacementspros.com</t>
  </si>
  <si>
    <t xml:space="preserve">Le Quotidien du Tourisme / Tour Hebdo</t>
  </si>
  <si>
    <t xml:space="preserve">Médias professionnels</t>
  </si>
  <si>
    <t xml:space="preserve">Cités dans le paysage de la presse professionnelle du tourisme ; à qualifier avant approche.</t>
  </si>
  <si>
    <t xml:space="preserve">Même angle que TourMaG, en second rideau</t>
  </si>
  <si>
    <t xml:space="preserve">À confirmer</t>
  </si>
  <si>
    <t xml:space="preserve">Presse aéronautique</t>
  </si>
  <si>
    <t xml:space="preserve">Air Journal, Air &amp; Cosmos</t>
  </si>
  <si>
    <t xml:space="preserve">Médias spécialisés aviation</t>
  </si>
  <si>
    <t xml:space="preserve">Lectorat aviation, sensible aux comparatifs de politiques compagnies. Non confirmés par ma recherche : à qualifier.</t>
  </si>
  <si>
    <t xml:space="preserve">Embargos chaleur : quand les compagnies suspendent le transport en soute</t>
  </si>
  <si>
    <t xml:space="preserve">air-journal.fr / air-cosmos.com</t>
  </si>
  <si>
    <t xml:space="preserve">Presse animalière</t>
  </si>
  <si>
    <t xml:space="preserve">30 Millions d'Amis</t>
  </si>
  <si>
    <t xml:space="preserve">Magazine mensuel + site, Fondation 30 Millions d'Amis</t>
  </si>
  <si>
    <t xml:space="preserve">Le titre le plus connu du grand public animalier. Audience exactement celle du site.</t>
  </si>
  <si>
    <t xml:space="preserve">Les 31 races à museau court et les 25 compagnies qui les refusent en soute</t>
  </si>
  <si>
    <t xml:space="preserve">2 à 3 mois pour le papier, court pour le site</t>
  </si>
  <si>
    <t xml:space="preserve">30millionsdamis.fr</t>
  </si>
  <si>
    <t xml:space="preserve">Vos Chiens Magazine</t>
  </si>
  <si>
    <t xml:space="preserve">Mensuel, lectorat cynophile averti</t>
  </si>
  <si>
    <t xml:space="preserve">Créé en 1984 par un couple d'éleveurs, référence chez les cynophiles avertis : santé, éducation, expositions.</t>
  </si>
  <si>
    <t xml:space="preserve">Caisse IATA : pourquoi la moitié des refus à l'embarquement viennent de là</t>
  </si>
  <si>
    <t xml:space="preserve">2 à 3 mois</t>
  </si>
  <si>
    <t xml:space="preserve">voschiensmagazine — page contact</t>
  </si>
  <si>
    <t xml:space="preserve">Atout Chien</t>
  </si>
  <si>
    <t xml:space="preserve">Magazine, races de pure race</t>
  </si>
  <si>
    <t xml:space="preserve">Magazine des amateurs de chiens de race — cible naturelle pour l'angle brachycéphales et races catégorisées.</t>
  </si>
  <si>
    <t xml:space="preserve">Races catégorisées : les pays qui les refusent à la frontière</t>
  </si>
  <si>
    <t xml:space="preserve">a2presse.fr / journaux.fr — éditeur à confirmer</t>
  </si>
  <si>
    <t xml:space="preserve">Tout Chien</t>
  </si>
  <si>
    <t xml:space="preserve">Magazine généraliste canin</t>
  </si>
  <si>
    <t xml:space="preserve">Magazine cynophile grand public, conseils pratiques.</t>
  </si>
  <si>
    <t xml:space="preserve">Check-list avant de réserver un vol avec son chien</t>
  </si>
  <si>
    <t xml:space="preserve">Consommation</t>
  </si>
  <si>
    <t xml:space="preserve">60 Millions de consommateurs</t>
  </si>
  <si>
    <t xml:space="preserve">Mensuel + hors-séries, Institut national de la consommation</t>
  </si>
  <si>
    <t xml:space="preserve">Publie régulièrement des hors-séries chiens et chats. Un comparatif chiffré et sourcé est exactement leur matière.</t>
  </si>
  <si>
    <t xml:space="preserve">Comparatif : ce que chaque compagnie facture et autorise pour un chien</t>
  </si>
  <si>
    <t xml:space="preserve">2 à 3 mois, hors-série plus long</t>
  </si>
  <si>
    <t xml:space="preserve">60millions-mag.com</t>
  </si>
  <si>
    <t xml:space="preserve">UFC-Que Choisir</t>
  </si>
  <si>
    <t xml:space="preserve">Mensuel + site, association de consommateurs</t>
  </si>
  <si>
    <t xml:space="preserve">Tient un dossier animal chien-chat permanent. Sensible aux informations que les professionnels ne publient pas — par exemple les coins pipi non signalés.</t>
  </si>
  <si>
    <t xml:space="preserve">70 aéroports sur 249 seulement disent où se trouve leur zone de soulagement</t>
  </si>
  <si>
    <t xml:space="preserve">quechoisir.org</t>
  </si>
  <si>
    <t xml:space="preserve">Blogs voyage &amp; chien</t>
  </si>
  <si>
    <t xml:space="preserve">Truffe &amp; Trip</t>
  </si>
  <si>
    <t xml:space="preserve">Blog, Nelly et sa chienne Saïka</t>
  </si>
  <si>
    <t xml:space="preserve">Blog français dédié au voyage avec chien : formalités, transports, hébergements. Audience très qualifiée, ton personnel.</t>
  </si>
  <si>
    <t xml:space="preserve">Offrir l'accès aux données brutes plutôt qu'un communiqué : proposer une collaboration</t>
  </si>
  <si>
    <t xml:space="preserve">truffe-and-trip.fr</t>
  </si>
  <si>
    <t xml:space="preserve">Chien Voyageur</t>
  </si>
  <si>
    <t xml:space="preserve">Blog spécialisé</t>
  </si>
  <si>
    <t xml:space="preserve">Traite précisément du transport aérien du chien. Recoupement direct avec le sujet du site.</t>
  </si>
  <si>
    <t xml:space="preserve">Comparer sa méthode à la nôtre : proposer une relecture croisée des données</t>
  </si>
  <si>
    <t xml:space="preserve">chienvoyageur.com</t>
  </si>
  <si>
    <t xml:space="preserve">DodoDog</t>
  </si>
  <si>
    <t xml:space="preserve">Guide en ligne</t>
  </si>
  <si>
    <t xml:space="preserve">Publie des guides « avion avec chien » détaillés. Concurrent autant que relais possible.</t>
  </si>
  <si>
    <t xml:space="preserve">Partenariat de citation réciproque plutôt que communiqué</t>
  </si>
  <si>
    <t xml:space="preserve">dododog.voyage</t>
  </si>
  <si>
    <t xml:space="preserve">Grands médias voyage</t>
  </si>
  <si>
    <t xml:space="preserve">Le Routard, GEO, Le Figaro Voyage, 20 Minutes</t>
  </si>
  <si>
    <t xml:space="preserve">Presse et sites grand public</t>
  </si>
  <si>
    <t xml:space="preserve">Non qualifiés dans cette passe : à traiter en second temps, une fois qu'un ou deux articles existent ailleurs. Un média généraliste reprend plus volontiers un sujet déjà sorti.</t>
  </si>
  <si>
    <t xml:space="preserve">Reprise d'un angle déjà publié, enrichi d'un chiffre neuf</t>
  </si>
  <si>
    <t xml:space="preserve">Variable</t>
  </si>
  <si>
    <t xml:space="preserve">Pages contact respectives</t>
  </si>
  <si>
    <t xml:space="preserve">Télévision &amp; radio</t>
  </si>
  <si>
    <t xml:space="preserve">Magazines de consommation et de service</t>
  </si>
  <si>
    <t xml:space="preserve">TV / radio</t>
  </si>
  <si>
    <t xml:space="preserve">Le sujet est très visuel : un chien en caisse, un coin pipi d'aéroport, un embarquement. À réserver au moment où le site aura une preuve d'usage à montrer.</t>
  </si>
  <si>
    <t xml:space="preserve">Reportage en aéroport à la veille des départs</t>
  </si>
  <si>
    <t xml:space="preserve">Semaines à mois</t>
  </si>
  <si>
    <t xml:space="preserve">À identifier</t>
  </si>
  <si>
    <t xml:space="preserve">Forums &amp; communautés</t>
  </si>
  <si>
    <t xml:space="preserve">Forums cynophiles et groupes de voyageurs</t>
  </si>
  <si>
    <t xml:space="preserve">Communautés en ligne</t>
  </si>
  <si>
    <t xml:space="preserve">Fort pouvoir de recommandation, mais l'autopromotion y est mal reçue. N'y aller qu'en répondant à des questions réelles, sans se cacher.</t>
  </si>
  <si>
    <t xml:space="preserve">Répondre aux questions existantes en citant la source, jamais poster un lien seul</t>
  </si>
  <si>
    <t xml:space="preserve">Immédiat</t>
  </si>
  <si>
    <t xml:space="preserve">À identifier au cas par cas</t>
  </si>
  <si>
    <t xml:space="preserve">International</t>
  </si>
  <si>
    <t xml:space="preserve">Presse animalière et voyage anglophone</t>
  </si>
  <si>
    <t xml:space="preserve">EN</t>
  </si>
  <si>
    <t xml:space="preserve">Presse et blogs</t>
  </si>
  <si>
    <t xml:space="preserve">Le site existe en anglais : le dossier de presse anglais est prêt. Marché bien plus large, concurrence plus dense.</t>
  </si>
  <si>
    <t xml:space="preserve">Angle réglementaire : ce que le règlement fédéral américain impose et que les aéroports ne publient pas</t>
  </si>
  <si>
    <t xml:space="preserve">Presse animalière et voyage hispanophone</t>
  </si>
  <si>
    <t xml:space="preserve">ES</t>
  </si>
  <si>
    <t xml:space="preserve">Le dossier espagnol est prêt et la concurrence y est plus faible qu'en anglais.</t>
  </si>
  <si>
    <t xml:space="preserve">Bogotá compte neuf zones de soulagement, l'Europe presque aucune</t>
  </si>
  <si>
    <t xml:space="preserve">Accroche</t>
  </si>
  <si>
    <t xml:space="preserve">Le fait, et son chiffre</t>
  </si>
  <si>
    <t xml:space="preserve">Comment le journaliste le recompte</t>
  </si>
  <si>
    <t xml:space="preserve">Pour qui</t>
  </si>
  <si>
    <t xml:space="preserve">Les 25 compagnies qui refusent les museaux courts en soute</t>
  </si>
  <si>
    <t xml:space="preserve">25 compagnies sur 78 refusent explicitement les races brachycéphales en soute. 31 des 172 races documentées sont concernées — dont le bouledogue français et le carlin, parmi les plus répandues en France.</t>
  </si>
  <si>
    <t xml:space="preserve">Recomptable sur le site : chaque fiche compagnie liste les races concernées, chaque fiche race indique son verdict soute.</t>
  </si>
  <si>
    <t xml:space="preserve">Presse animalière, consommation</t>
  </si>
  <si>
    <t xml:space="preserve">Six compagnies n'acceptent aucun animal, pas même en soute</t>
  </si>
  <si>
    <t xml:space="preserve">easyJet, Ryanair, Wizz Air, Qantas, IndiGo et Icelandair ne transportent aucun animal de compagnie. Quatre autres — British Airways, Cathay Pacific, Virgin Atlantic, Aer Lingus — n'acceptent qu'en fret, avec un dossier et un coût sans commune mesure.</t>
  </si>
  <si>
    <t xml:space="preserve">Vérifiable fiche par fiche, chaque politique portant sa source et sa date.</t>
  </si>
  <si>
    <t xml:space="preserve">Consommation, presse pro tourisme, grand public</t>
  </si>
  <si>
    <t xml:space="preserve">70 aéroports sur 249 disent où se trouve leur coin pipi</t>
  </si>
  <si>
    <t xml:space="preserve">142 aéroports sont documentés, mais 70 seulement publient l'emplacement précis de leur zone de soulagement. Aux États-Unis la loi fédérale en impose une par terminal — sans obliger à dire où.</t>
  </si>
  <si>
    <t xml:space="preserve">La liste est publique sur le site, aéroport par aéroport, avec la source et la date de vérification.</t>
  </si>
  <si>
    <t xml:space="preserve">Trois aéroports réservent leur zone aux chiens d'assistance</t>
  </si>
  <si>
    <t xml:space="preserve">À Keflavík, Tel-Aviv et Sydney, la zone existe mais un chien de compagnie n'y a pas accès. La nuance n'apparaît nulle part ailleurs.</t>
  </si>
  <si>
    <t xml:space="preserve">Champ dédié dans la base, renseigné en juillet 2026.</t>
  </si>
  <si>
    <t xml:space="preserve">Presse animalière, blogs</t>
  </si>
  <si>
    <t xml:space="preserve">Les embargos chaleur, angle de fin d'été</t>
  </si>
  <si>
    <t xml:space="preserve">Plusieurs compagnies suspendent le transport en soute au-delà d'un seuil de température. Le sujet est saisonnier et tombe juste au retour des vacances.</t>
  </si>
  <si>
    <t xml:space="preserve">Le calculateur de risque chaleur du site donne le verdict par trajet et par date.</t>
  </si>
  <si>
    <t xml:space="preserve">Presse pro tourisme, aéronautique, grand public</t>
  </si>
  <si>
    <t xml:space="preserve">La caisse IATA, première cause de refus à l'embarquement</t>
  </si>
  <si>
    <t xml:space="preserve">Sur 76 guides compagnies analysés, la caisse non conforme revenait dans 44 — devant les formalités oubliées et la réservation tardive.</t>
  </si>
  <si>
    <t xml:space="preserve">Mesure interne issue de l'analyse des guides ; à présenter comme telle, pas comme une statistique du secteur.</t>
  </si>
  <si>
    <t xml:space="preserve">Presse animalière, blogs, consommation</t>
  </si>
  <si>
    <t xml:space="preserve">Fenêtre</t>
  </si>
  <si>
    <t xml:space="preserve">Quoi</t>
  </si>
  <si>
    <t xml:space="preserve">Qui</t>
  </si>
  <si>
    <t xml:space="preserve">Pourquoi à ce moment-là</t>
  </si>
  <si>
    <t xml:space="preserve">Maintenant → mi-août</t>
  </si>
  <si>
    <t xml:space="preserve">Presse professionnelle et blogs</t>
  </si>
  <si>
    <t xml:space="preserve">TourMaG, L'Écho Touristique, Truffe &amp; Trip, Chien Voyageur</t>
  </si>
  <si>
    <t xml:space="preserve">Délai de publication court : ce sont les seuls à pouvoir sortir avant la rentrée.</t>
  </si>
  <si>
    <t xml:space="preserve">Août</t>
  </si>
  <si>
    <t xml:space="preserve">Proposition aux mensuels pour le numéro de fin d'année</t>
  </si>
  <si>
    <t xml:space="preserve">30 Millions d'Amis, Vos Chiens, 60 Millions, Que Choisir</t>
  </si>
  <si>
    <t xml:space="preserve">Un mensuel boucle deux à trois mois avant. En août, la cible réaliste est novembre-décembre.</t>
  </si>
  <si>
    <t xml:space="preserve">Prise de contact magazines de bord</t>
  </si>
  <si>
    <t xml:space="preserve">EnVols / Reworld Media</t>
  </si>
  <si>
    <t xml:space="preserve">Bimestriel : le sujet doit être proposé très en amont, avec des visuels prêts.</t>
  </si>
  <si>
    <t xml:space="preserve">Fin août → mi-septembre</t>
  </si>
  <si>
    <t xml:space="preserve">Fenêtre de rentrée</t>
  </si>
  <si>
    <t xml:space="preserve">Web, blogs, communautés</t>
  </si>
  <si>
    <t xml:space="preserve">Le moment où le lecteur revient de vacances et prépare les fêtes.</t>
  </si>
  <si>
    <t xml:space="preserve">Septembre → octobre</t>
  </si>
  <si>
    <t xml:space="preserve">Grands médias, en reprise</t>
  </si>
  <si>
    <t xml:space="preserve">Routard, GEO, presse généraliste</t>
  </si>
  <si>
    <t xml:space="preserve">Un généraliste reprend plus volontiers un sujet déjà paru ailleurs.</t>
  </si>
  <si>
    <t xml:space="preserve">Octobre → novembre</t>
  </si>
  <si>
    <t xml:space="preserve">Télévision et radio</t>
  </si>
  <si>
    <t xml:space="preserve">Magazines de service</t>
  </si>
  <si>
    <t xml:space="preserve">À tenter une fois qu'un article de référence existe et que le site a des usages à montrer.</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</si>
</sst>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011D48"/>
      <name val="Arial"/>
      <family val="0"/>
      <charset val="1"/>
    </font>
    <font>
      <i val="true"/>
      <sz val="10"/>
      <color rgb="FF5B6B7F"/>
      <name val="Arial"/>
      <family val="0"/>
      <charset val="1"/>
    </font>
    <font>
      <sz val="10"/>
      <name val="Arial"/>
      <family val="0"/>
      <charset val="1"/>
    </font>
    <font>
      <b val="true"/>
      <sz val="11"/>
      <color rgb="FFF2700F"/>
      <name val="Arial"/>
      <family val="0"/>
      <charset val="1"/>
    </font>
    <font>
      <b val="true"/>
      <sz val="10"/>
      <name val="Arial"/>
      <family val="0"/>
      <charset val="1"/>
    </font>
    <font>
      <b val="true"/>
      <sz val="10"/>
      <color rgb="FFFFFFFF"/>
      <name val="Arial"/>
      <family val="0"/>
      <charset val="1"/>
    </font>
    <font>
      <sz val="10"/>
      <color rgb="FF1A7F43"/>
      <name val="Arial"/>
      <family val="0"/>
      <charset val="1"/>
    </font>
    <font>
      <sz val="10"/>
      <color rgb="FFB4530A"/>
      <name val="Arial"/>
      <family val="0"/>
      <charset val="1"/>
    </font>
  </fonts>
  <fills count="4">
    <fill>
      <patternFill patternType="none"/>
    </fill>
    <fill>
      <patternFill patternType="gray125"/>
    </fill>
    <fill>
      <patternFill patternType="solid">
        <fgColor rgb="FF011D48"/>
        <bgColor rgb="FF000080"/>
      </patternFill>
    </fill>
    <fill>
      <patternFill patternType="solid">
        <fgColor rgb="FFFDE8D2"/>
        <bgColor rgb="FFDDE3EA"/>
      </patternFill>
    </fill>
  </fills>
  <borders count="2">
    <border diagonalUp="false" diagonalDown="false">
      <left/>
      <right/>
      <top/>
      <bottom/>
      <diagonal/>
    </border>
    <border diagonalUp="false" diagonalDown="false">
      <left/>
      <right/>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F43"/>
      <rgbColor rgb="FFC0C0C0"/>
      <rgbColor rgb="FF808080"/>
      <rgbColor rgb="FF9999FF"/>
      <rgbColor rgb="FF993366"/>
      <rgbColor rgb="FFFDE8D2"/>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2700F"/>
      <rgbColor rgb="FF5B6B7F"/>
      <rgbColor rgb="FF969696"/>
      <rgbColor rgb="FF011D48"/>
      <rgbColor rgb="FF339966"/>
      <rgbColor rgb="FF003300"/>
      <rgbColor rgb="FF333300"/>
      <rgbColor rgb="FFB4530A"/>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34.5" hidden="false" customHeight="true" outlineLevel="0" collapsed="false">
      <c r="A5" s="4" t="s">
        <v>3</v>
      </c>
    </row>
    <row r="6" customFormat="false" ht="15" hidden="false" customHeight="true" outlineLevel="0" collapsed="false">
      <c r="A6" s="4"/>
    </row>
    <row r="7" customFormat="false" ht="15" hidden="false" customHeight="true" outlineLevel="0" collapsed="false">
      <c r="A7" s="5" t="s">
        <v>4</v>
      </c>
    </row>
    <row r="8" customFormat="false" ht="34.5" hidden="false" customHeight="true" outlineLevel="0" collapsed="false">
      <c r="A8" s="4" t="s">
        <v>5</v>
      </c>
    </row>
    <row r="9" customFormat="false" ht="23.25" hidden="false" customHeight="true" outlineLevel="0" collapsed="false">
      <c r="A9" s="4" t="s">
        <v>6</v>
      </c>
    </row>
    <row r="10" customFormat="false" ht="15" hidden="false" customHeight="true" outlineLevel="0" collapsed="false">
      <c r="A10" s="4"/>
    </row>
    <row r="11" customFormat="false" ht="15" hidden="false" customHeight="true" outlineLevel="0" collapsed="false">
      <c r="A11" s="5" t="s">
        <v>7</v>
      </c>
    </row>
    <row r="12" customFormat="false" ht="23.25" hidden="false" customHeight="true" outlineLevel="0" collapsed="false">
      <c r="A12" s="4" t="s">
        <v>8</v>
      </c>
    </row>
    <row r="13" customFormat="false" ht="15" hidden="false" customHeight="true" outlineLevel="0" collapsed="false">
      <c r="A13" s="4"/>
    </row>
    <row r="14" customFormat="false" ht="15" hidden="false" customHeight="true" outlineLevel="0" collapsed="false"/>
    <row r="15" customFormat="false" ht="45.75" hidden="false" customHeight="true" outlineLevel="0" collapsed="false">
      <c r="A15" s="6" t="s">
        <v>9</v>
      </c>
    </row>
    <row r="16" customFormat="false" ht="15" hidden="false" customHeight="false" outlineLevel="0" collapsed="false">
      <c r="A16" s="7" t="s">
        <v>10</v>
      </c>
      <c r="B16" s="8" t="n">
        <f aca="false">COUNTIF(Cibles!A:A,1)</f>
        <v>10</v>
      </c>
    </row>
    <row r="17" customFormat="false" ht="15" hidden="false" customHeight="true" outlineLevel="0" collapsed="false">
      <c r="A17" s="7" t="s">
        <v>11</v>
      </c>
      <c r="B17" s="8" t="n">
        <f aca="false">COUNTIF(Cibles!A:A,2)</f>
        <v>10</v>
      </c>
    </row>
    <row r="18" customFormat="false" ht="15" hidden="false" customHeight="true" outlineLevel="0" collapsed="false">
      <c r="A18" s="7" t="s">
        <v>12</v>
      </c>
      <c r="B18" s="8" t="n">
        <f aca="false">COUNTIF(Cibles!A:A,3)</f>
        <v>3</v>
      </c>
    </row>
    <row r="19" customFormat="false" ht="15" hidden="false" customHeight="true" outlineLevel="0" collapsed="false"/>
    <row r="20"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30"/>
    <col collapsed="false" customWidth="true" hidden="false" outlineLevel="0" max="4" min="4" style="1" width="8"/>
    <col collapsed="false" customWidth="true" hidden="false" outlineLevel="0" max="5" min="5" style="1" width="26"/>
    <col collapsed="false" customWidth="true" hidden="false" outlineLevel="0" max="6" min="6" style="1" width="52"/>
    <col collapsed="false" customWidth="true" hidden="false" outlineLevel="0" max="7" min="7" style="1" width="44"/>
    <col collapsed="false" customWidth="true" hidden="false" outlineLevel="0" max="8" min="8" style="1" width="22"/>
    <col collapsed="false" customWidth="true" hidden="false" outlineLevel="0" max="9" min="9" style="1" width="34"/>
    <col collapsed="false" customWidth="true" hidden="false" outlineLevel="0" max="10" min="10" style="1" width="20"/>
  </cols>
  <sheetData>
    <row r="1" customFormat="false" ht="30" hidden="false" customHeight="true" outlineLevel="0" collapsed="false">
      <c r="A1" s="9" t="s">
        <v>13</v>
      </c>
      <c r="B1" s="9" t="s">
        <v>14</v>
      </c>
      <c r="C1" s="9" t="s">
        <v>15</v>
      </c>
      <c r="D1" s="9" t="s">
        <v>16</v>
      </c>
      <c r="E1" s="9" t="s">
        <v>17</v>
      </c>
      <c r="F1" s="9" t="s">
        <v>18</v>
      </c>
      <c r="G1" s="9" t="s">
        <v>19</v>
      </c>
      <c r="H1" s="9" t="s">
        <v>20</v>
      </c>
      <c r="I1" s="9" t="s">
        <v>21</v>
      </c>
      <c r="J1" s="9" t="s">
        <v>22</v>
      </c>
    </row>
    <row r="2" customFormat="false" ht="45.75" hidden="false" customHeight="true" outlineLevel="0" collapsed="false">
      <c r="A2" s="10" t="n">
        <v>1</v>
      </c>
      <c r="B2" s="11" t="s">
        <v>23</v>
      </c>
      <c r="C2" s="11" t="s">
        <v>24</v>
      </c>
      <c r="D2" s="11" t="s">
        <v>25</v>
      </c>
      <c r="E2" s="11" t="s">
        <v>26</v>
      </c>
      <c r="F2" s="11" t="s">
        <v>27</v>
      </c>
      <c r="G2" s="11" t="s">
        <v>28</v>
      </c>
      <c r="H2" s="11" t="s">
        <v>29</v>
      </c>
      <c r="I2" s="11" t="s">
        <v>30</v>
      </c>
      <c r="J2" s="12" t="s">
        <v>31</v>
      </c>
    </row>
    <row r="3" customFormat="false" ht="45.75" hidden="false" customHeight="true" outlineLevel="0" collapsed="false">
      <c r="A3" s="10" t="n">
        <v>1</v>
      </c>
      <c r="B3" s="11" t="s">
        <v>23</v>
      </c>
      <c r="C3" s="11" t="s">
        <v>32</v>
      </c>
      <c r="D3" s="11" t="s">
        <v>33</v>
      </c>
      <c r="E3" s="11" t="s">
        <v>34</v>
      </c>
      <c r="F3" s="11" t="s">
        <v>35</v>
      </c>
      <c r="G3" s="11" t="s">
        <v>36</v>
      </c>
      <c r="H3" s="11" t="s">
        <v>37</v>
      </c>
      <c r="I3" s="11" t="s">
        <v>38</v>
      </c>
      <c r="J3" s="12" t="s">
        <v>31</v>
      </c>
    </row>
    <row r="4" customFormat="false" ht="34.5" hidden="false" customHeight="true" outlineLevel="0" collapsed="false">
      <c r="A4" s="13" t="n">
        <v>2</v>
      </c>
      <c r="B4" s="11" t="s">
        <v>39</v>
      </c>
      <c r="C4" s="11" t="s">
        <v>40</v>
      </c>
      <c r="D4" s="11" t="s">
        <v>25</v>
      </c>
      <c r="E4" s="11" t="s">
        <v>41</v>
      </c>
      <c r="F4" s="11" t="s">
        <v>42</v>
      </c>
      <c r="G4" s="11" t="s">
        <v>43</v>
      </c>
      <c r="H4" s="11" t="s">
        <v>44</v>
      </c>
      <c r="I4" s="11" t="s">
        <v>45</v>
      </c>
      <c r="J4" s="12" t="s">
        <v>31</v>
      </c>
    </row>
    <row r="5" customFormat="false" ht="45.75" hidden="false" customHeight="true" outlineLevel="0" collapsed="false">
      <c r="A5" s="13" t="n">
        <v>2</v>
      </c>
      <c r="B5" s="11" t="s">
        <v>23</v>
      </c>
      <c r="C5" s="11" t="s">
        <v>46</v>
      </c>
      <c r="D5" s="11" t="s">
        <v>47</v>
      </c>
      <c r="E5" s="11" t="s">
        <v>48</v>
      </c>
      <c r="F5" s="11" t="s">
        <v>49</v>
      </c>
      <c r="G5" s="11" t="s">
        <v>50</v>
      </c>
      <c r="H5" s="11" t="s">
        <v>51</v>
      </c>
      <c r="I5" s="11" t="s">
        <v>52</v>
      </c>
      <c r="J5" s="14" t="s">
        <v>53</v>
      </c>
    </row>
    <row r="6" customFormat="false" ht="23.25" hidden="false" customHeight="true" outlineLevel="0" collapsed="false">
      <c r="A6" s="10" t="n">
        <v>1</v>
      </c>
      <c r="B6" s="11" t="s">
        <v>54</v>
      </c>
      <c r="C6" s="11" t="s">
        <v>55</v>
      </c>
      <c r="D6" s="11" t="s">
        <v>33</v>
      </c>
      <c r="E6" s="11" t="s">
        <v>56</v>
      </c>
      <c r="F6" s="11" t="s">
        <v>57</v>
      </c>
      <c r="G6" s="11" t="s">
        <v>58</v>
      </c>
      <c r="H6" s="11" t="s">
        <v>59</v>
      </c>
      <c r="I6" s="11" t="s">
        <v>60</v>
      </c>
      <c r="J6" s="12" t="s">
        <v>31</v>
      </c>
    </row>
    <row r="7" customFormat="false" ht="34.5" hidden="false" customHeight="true" outlineLevel="0" collapsed="false">
      <c r="A7" s="10" t="n">
        <v>1</v>
      </c>
      <c r="B7" s="11" t="s">
        <v>54</v>
      </c>
      <c r="C7" s="11" t="s">
        <v>61</v>
      </c>
      <c r="D7" s="11" t="s">
        <v>33</v>
      </c>
      <c r="E7" s="11" t="s">
        <v>62</v>
      </c>
      <c r="F7" s="11" t="s">
        <v>63</v>
      </c>
      <c r="G7" s="11" t="s">
        <v>64</v>
      </c>
      <c r="H7" s="11" t="s">
        <v>59</v>
      </c>
      <c r="I7" s="11" t="s">
        <v>65</v>
      </c>
      <c r="J7" s="12" t="s">
        <v>31</v>
      </c>
    </row>
    <row r="8" customFormat="false" ht="23.25" hidden="false" customHeight="true" outlineLevel="0" collapsed="false">
      <c r="A8" s="13" t="n">
        <v>2</v>
      </c>
      <c r="B8" s="11" t="s">
        <v>54</v>
      </c>
      <c r="C8" s="11" t="s">
        <v>66</v>
      </c>
      <c r="D8" s="11" t="s">
        <v>33</v>
      </c>
      <c r="E8" s="11" t="s">
        <v>67</v>
      </c>
      <c r="F8" s="11" t="s">
        <v>68</v>
      </c>
      <c r="G8" s="11" t="s">
        <v>69</v>
      </c>
      <c r="H8" s="11" t="s">
        <v>59</v>
      </c>
      <c r="I8" s="11" t="s">
        <v>70</v>
      </c>
      <c r="J8" s="14" t="s">
        <v>53</v>
      </c>
    </row>
    <row r="9" customFormat="false" ht="23.25" hidden="false" customHeight="true" outlineLevel="0" collapsed="false">
      <c r="A9" s="13" t="n">
        <v>2</v>
      </c>
      <c r="B9" s="11" t="s">
        <v>54</v>
      </c>
      <c r="C9" s="11" t="s">
        <v>71</v>
      </c>
      <c r="D9" s="11" t="s">
        <v>33</v>
      </c>
      <c r="E9" s="11" t="s">
        <v>72</v>
      </c>
      <c r="F9" s="11" t="s">
        <v>73</v>
      </c>
      <c r="G9" s="11" t="s">
        <v>74</v>
      </c>
      <c r="H9" s="11" t="s">
        <v>59</v>
      </c>
      <c r="I9" s="11" t="s">
        <v>75</v>
      </c>
      <c r="J9" s="14" t="s">
        <v>53</v>
      </c>
    </row>
    <row r="10" customFormat="false" ht="23.25" hidden="false" customHeight="true" outlineLevel="0" collapsed="false">
      <c r="A10" s="13" t="n">
        <v>2</v>
      </c>
      <c r="B10" s="11" t="s">
        <v>76</v>
      </c>
      <c r="C10" s="11" t="s">
        <v>77</v>
      </c>
      <c r="D10" s="11" t="s">
        <v>33</v>
      </c>
      <c r="E10" s="11" t="s">
        <v>78</v>
      </c>
      <c r="F10" s="11" t="s">
        <v>79</v>
      </c>
      <c r="G10" s="11" t="s">
        <v>80</v>
      </c>
      <c r="H10" s="11" t="s">
        <v>59</v>
      </c>
      <c r="I10" s="11" t="s">
        <v>81</v>
      </c>
      <c r="J10" s="14" t="s">
        <v>53</v>
      </c>
    </row>
    <row r="11" customFormat="false" ht="23.25" hidden="false" customHeight="true" outlineLevel="0" collapsed="false">
      <c r="A11" s="10" t="n">
        <v>1</v>
      </c>
      <c r="B11" s="11" t="s">
        <v>82</v>
      </c>
      <c r="C11" s="11" t="s">
        <v>83</v>
      </c>
      <c r="D11" s="11" t="s">
        <v>33</v>
      </c>
      <c r="E11" s="11" t="s">
        <v>84</v>
      </c>
      <c r="F11" s="11" t="s">
        <v>85</v>
      </c>
      <c r="G11" s="11" t="s">
        <v>86</v>
      </c>
      <c r="H11" s="11" t="s">
        <v>87</v>
      </c>
      <c r="I11" s="11" t="s">
        <v>88</v>
      </c>
      <c r="J11" s="12" t="s">
        <v>31</v>
      </c>
    </row>
    <row r="12" customFormat="false" ht="23.25" hidden="false" customHeight="true" outlineLevel="0" collapsed="false">
      <c r="A12" s="10" t="n">
        <v>1</v>
      </c>
      <c r="B12" s="11" t="s">
        <v>82</v>
      </c>
      <c r="C12" s="11" t="s">
        <v>89</v>
      </c>
      <c r="D12" s="11" t="s">
        <v>33</v>
      </c>
      <c r="E12" s="11" t="s">
        <v>90</v>
      </c>
      <c r="F12" s="11" t="s">
        <v>91</v>
      </c>
      <c r="G12" s="11" t="s">
        <v>92</v>
      </c>
      <c r="H12" s="11" t="s">
        <v>93</v>
      </c>
      <c r="I12" s="11" t="s">
        <v>94</v>
      </c>
      <c r="J12" s="12" t="s">
        <v>31</v>
      </c>
    </row>
    <row r="13" customFormat="false" ht="23.25" hidden="false" customHeight="true" outlineLevel="0" collapsed="false">
      <c r="A13" s="13" t="n">
        <v>2</v>
      </c>
      <c r="B13" s="11" t="s">
        <v>82</v>
      </c>
      <c r="C13" s="11" t="s">
        <v>95</v>
      </c>
      <c r="D13" s="11" t="s">
        <v>33</v>
      </c>
      <c r="E13" s="11" t="s">
        <v>96</v>
      </c>
      <c r="F13" s="11" t="s">
        <v>97</v>
      </c>
      <c r="G13" s="11" t="s">
        <v>98</v>
      </c>
      <c r="H13" s="11" t="s">
        <v>93</v>
      </c>
      <c r="I13" s="11" t="s">
        <v>99</v>
      </c>
      <c r="J13" s="12" t="s">
        <v>31</v>
      </c>
    </row>
    <row r="14" customFormat="false" ht="15" hidden="false" customHeight="true" outlineLevel="0" collapsed="false">
      <c r="A14" s="13" t="n">
        <v>2</v>
      </c>
      <c r="B14" s="11" t="s">
        <v>82</v>
      </c>
      <c r="C14" s="11" t="s">
        <v>100</v>
      </c>
      <c r="D14" s="11" t="s">
        <v>33</v>
      </c>
      <c r="E14" s="11" t="s">
        <v>101</v>
      </c>
      <c r="F14" s="11" t="s">
        <v>102</v>
      </c>
      <c r="G14" s="11" t="s">
        <v>103</v>
      </c>
      <c r="H14" s="11" t="s">
        <v>93</v>
      </c>
      <c r="I14" s="11" t="s">
        <v>75</v>
      </c>
      <c r="J14" s="12" t="s">
        <v>31</v>
      </c>
    </row>
    <row r="15" customFormat="false" ht="23.25" hidden="false" customHeight="true" outlineLevel="0" collapsed="false">
      <c r="A15" s="10" t="n">
        <v>1</v>
      </c>
      <c r="B15" s="11" t="s">
        <v>104</v>
      </c>
      <c r="C15" s="11" t="s">
        <v>105</v>
      </c>
      <c r="D15" s="11" t="s">
        <v>33</v>
      </c>
      <c r="E15" s="11" t="s">
        <v>106</v>
      </c>
      <c r="F15" s="11" t="s">
        <v>107</v>
      </c>
      <c r="G15" s="11" t="s">
        <v>108</v>
      </c>
      <c r="H15" s="11" t="s">
        <v>109</v>
      </c>
      <c r="I15" s="11" t="s">
        <v>110</v>
      </c>
      <c r="J15" s="12" t="s">
        <v>31</v>
      </c>
    </row>
    <row r="16" customFormat="false" ht="34.5" hidden="false" customHeight="true" outlineLevel="0" collapsed="false">
      <c r="A16" s="10" t="n">
        <v>1</v>
      </c>
      <c r="B16" s="11" t="s">
        <v>104</v>
      </c>
      <c r="C16" s="11" t="s">
        <v>111</v>
      </c>
      <c r="D16" s="11" t="s">
        <v>33</v>
      </c>
      <c r="E16" s="11" t="s">
        <v>112</v>
      </c>
      <c r="F16" s="11" t="s">
        <v>113</v>
      </c>
      <c r="G16" s="11" t="s">
        <v>114</v>
      </c>
      <c r="H16" s="11" t="s">
        <v>87</v>
      </c>
      <c r="I16" s="11" t="s">
        <v>115</v>
      </c>
      <c r="J16" s="12" t="s">
        <v>31</v>
      </c>
    </row>
    <row r="17" customFormat="false" ht="34.5" hidden="false" customHeight="true" outlineLevel="0" collapsed="false">
      <c r="A17" s="10" t="n">
        <v>1</v>
      </c>
      <c r="B17" s="11" t="s">
        <v>116</v>
      </c>
      <c r="C17" s="11" t="s">
        <v>117</v>
      </c>
      <c r="D17" s="11" t="s">
        <v>33</v>
      </c>
      <c r="E17" s="11" t="s">
        <v>118</v>
      </c>
      <c r="F17" s="11" t="s">
        <v>119</v>
      </c>
      <c r="G17" s="11" t="s">
        <v>120</v>
      </c>
      <c r="H17" s="11" t="s">
        <v>59</v>
      </c>
      <c r="I17" s="11" t="s">
        <v>121</v>
      </c>
      <c r="J17" s="12" t="s">
        <v>31</v>
      </c>
    </row>
    <row r="18" customFormat="false" ht="23.25" hidden="false" customHeight="true" outlineLevel="0" collapsed="false">
      <c r="A18" s="10" t="n">
        <v>1</v>
      </c>
      <c r="B18" s="11" t="s">
        <v>116</v>
      </c>
      <c r="C18" s="11" t="s">
        <v>122</v>
      </c>
      <c r="D18" s="11" t="s">
        <v>33</v>
      </c>
      <c r="E18" s="11" t="s">
        <v>123</v>
      </c>
      <c r="F18" s="11" t="s">
        <v>124</v>
      </c>
      <c r="G18" s="11" t="s">
        <v>125</v>
      </c>
      <c r="H18" s="11" t="s">
        <v>59</v>
      </c>
      <c r="I18" s="11" t="s">
        <v>126</v>
      </c>
      <c r="J18" s="12" t="s">
        <v>31</v>
      </c>
    </row>
    <row r="19" customFormat="false" ht="23.25" hidden="false" customHeight="true" outlineLevel="0" collapsed="false">
      <c r="A19" s="13" t="n">
        <v>2</v>
      </c>
      <c r="B19" s="11" t="s">
        <v>116</v>
      </c>
      <c r="C19" s="11" t="s">
        <v>127</v>
      </c>
      <c r="D19" s="11" t="s">
        <v>33</v>
      </c>
      <c r="E19" s="11" t="s">
        <v>128</v>
      </c>
      <c r="F19" s="11" t="s">
        <v>129</v>
      </c>
      <c r="G19" s="11" t="s">
        <v>130</v>
      </c>
      <c r="H19" s="11" t="s">
        <v>59</v>
      </c>
      <c r="I19" s="11" t="s">
        <v>131</v>
      </c>
      <c r="J19" s="12" t="s">
        <v>31</v>
      </c>
    </row>
    <row r="20" customFormat="false" ht="34.5" hidden="false" customHeight="true" outlineLevel="0" collapsed="false">
      <c r="A20" s="13" t="n">
        <v>2</v>
      </c>
      <c r="B20" s="11" t="s">
        <v>132</v>
      </c>
      <c r="C20" s="11" t="s">
        <v>133</v>
      </c>
      <c r="D20" s="11" t="s">
        <v>33</v>
      </c>
      <c r="E20" s="11" t="s">
        <v>134</v>
      </c>
      <c r="F20" s="11" t="s">
        <v>135</v>
      </c>
      <c r="G20" s="11" t="s">
        <v>136</v>
      </c>
      <c r="H20" s="11" t="s">
        <v>137</v>
      </c>
      <c r="I20" s="11" t="s">
        <v>138</v>
      </c>
      <c r="J20" s="14" t="s">
        <v>53</v>
      </c>
    </row>
    <row r="21" customFormat="false" ht="34.5" hidden="false" customHeight="true" outlineLevel="0" collapsed="false">
      <c r="A21" s="13" t="n">
        <v>3</v>
      </c>
      <c r="B21" s="11" t="s">
        <v>139</v>
      </c>
      <c r="C21" s="11" t="s">
        <v>140</v>
      </c>
      <c r="D21" s="11" t="s">
        <v>33</v>
      </c>
      <c r="E21" s="11" t="s">
        <v>141</v>
      </c>
      <c r="F21" s="11" t="s">
        <v>142</v>
      </c>
      <c r="G21" s="11" t="s">
        <v>143</v>
      </c>
      <c r="H21" s="11" t="s">
        <v>144</v>
      </c>
      <c r="I21" s="11" t="s">
        <v>145</v>
      </c>
      <c r="J21" s="14" t="s">
        <v>53</v>
      </c>
    </row>
    <row r="22" customFormat="false" ht="34.5" hidden="false" customHeight="true" outlineLevel="0" collapsed="false">
      <c r="A22" s="13" t="n">
        <v>3</v>
      </c>
      <c r="B22" s="11" t="s">
        <v>146</v>
      </c>
      <c r="C22" s="11" t="s">
        <v>147</v>
      </c>
      <c r="D22" s="11" t="s">
        <v>33</v>
      </c>
      <c r="E22" s="11" t="s">
        <v>148</v>
      </c>
      <c r="F22" s="11" t="s">
        <v>149</v>
      </c>
      <c r="G22" s="11" t="s">
        <v>150</v>
      </c>
      <c r="H22" s="11" t="s">
        <v>151</v>
      </c>
      <c r="I22" s="11" t="s">
        <v>152</v>
      </c>
      <c r="J22" s="14" t="s">
        <v>53</v>
      </c>
    </row>
    <row r="23" customFormat="false" ht="23.25" hidden="false" customHeight="true" outlineLevel="0" collapsed="false">
      <c r="A23" s="13" t="n">
        <v>2</v>
      </c>
      <c r="B23" s="11" t="s">
        <v>153</v>
      </c>
      <c r="C23" s="11" t="s">
        <v>154</v>
      </c>
      <c r="D23" s="11" t="s">
        <v>155</v>
      </c>
      <c r="E23" s="11" t="s">
        <v>156</v>
      </c>
      <c r="F23" s="11" t="s">
        <v>157</v>
      </c>
      <c r="G23" s="11" t="s">
        <v>158</v>
      </c>
      <c r="H23" s="11" t="s">
        <v>137</v>
      </c>
      <c r="I23" s="11" t="s">
        <v>145</v>
      </c>
      <c r="J23" s="14" t="s">
        <v>53</v>
      </c>
    </row>
    <row r="24" customFormat="false" ht="23.25" hidden="false" customHeight="true" outlineLevel="0" collapsed="false">
      <c r="A24" s="13" t="n">
        <v>3</v>
      </c>
      <c r="B24" s="11" t="s">
        <v>153</v>
      </c>
      <c r="C24" s="11" t="s">
        <v>159</v>
      </c>
      <c r="D24" s="11" t="s">
        <v>160</v>
      </c>
      <c r="E24" s="11" t="s">
        <v>156</v>
      </c>
      <c r="F24" s="11" t="s">
        <v>161</v>
      </c>
      <c r="G24" s="11" t="s">
        <v>162</v>
      </c>
      <c r="H24" s="11" t="s">
        <v>137</v>
      </c>
      <c r="I24" s="11" t="s">
        <v>145</v>
      </c>
      <c r="J24" s="14"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66"/>
    <col collapsed="false" customWidth="true" hidden="false" outlineLevel="0" max="3" min="3" style="1" width="50"/>
    <col collapsed="false" customWidth="true" hidden="false" outlineLevel="0" max="4" min="4" style="1" width="30"/>
  </cols>
  <sheetData>
    <row r="1" customFormat="false" ht="30" hidden="false" customHeight="true" outlineLevel="0" collapsed="false">
      <c r="A1" s="9" t="s">
        <v>163</v>
      </c>
      <c r="B1" s="9" t="s">
        <v>164</v>
      </c>
      <c r="C1" s="9" t="s">
        <v>165</v>
      </c>
      <c r="D1" s="9" t="s">
        <v>166</v>
      </c>
    </row>
    <row r="2" customFormat="false" ht="34.5" hidden="false" customHeight="true" outlineLevel="0" collapsed="false">
      <c r="A2" s="11" t="s">
        <v>167</v>
      </c>
      <c r="B2" s="11" t="s">
        <v>168</v>
      </c>
      <c r="C2" s="11" t="s">
        <v>169</v>
      </c>
      <c r="D2" s="11" t="s">
        <v>170</v>
      </c>
    </row>
    <row r="3" customFormat="false" ht="45.75" hidden="false" customHeight="true" outlineLevel="0" collapsed="false">
      <c r="A3" s="11" t="s">
        <v>171</v>
      </c>
      <c r="B3" s="11" t="s">
        <v>172</v>
      </c>
      <c r="C3" s="11" t="s">
        <v>173</v>
      </c>
      <c r="D3" s="11" t="s">
        <v>174</v>
      </c>
    </row>
    <row r="4" customFormat="false" ht="34.5" hidden="false" customHeight="true" outlineLevel="0" collapsed="false">
      <c r="A4" s="11" t="s">
        <v>175</v>
      </c>
      <c r="B4" s="11" t="s">
        <v>176</v>
      </c>
      <c r="C4" s="11" t="s">
        <v>177</v>
      </c>
      <c r="D4" s="11" t="s">
        <v>174</v>
      </c>
    </row>
    <row r="5" customFormat="false" ht="23.25" hidden="false" customHeight="true" outlineLevel="0" collapsed="false">
      <c r="A5" s="11" t="s">
        <v>178</v>
      </c>
      <c r="B5" s="11" t="s">
        <v>179</v>
      </c>
      <c r="C5" s="11" t="s">
        <v>180</v>
      </c>
      <c r="D5" s="11" t="s">
        <v>181</v>
      </c>
    </row>
    <row r="6" customFormat="false" ht="23.25" hidden="false" customHeight="true" outlineLevel="0" collapsed="false">
      <c r="A6" s="11" t="s">
        <v>182</v>
      </c>
      <c r="B6" s="11" t="s">
        <v>183</v>
      </c>
      <c r="C6" s="11" t="s">
        <v>184</v>
      </c>
      <c r="D6" s="11" t="s">
        <v>185</v>
      </c>
    </row>
    <row r="7" customFormat="false" ht="23.25" hidden="false" customHeight="true" outlineLevel="0" collapsed="false">
      <c r="A7" s="11" t="s">
        <v>186</v>
      </c>
      <c r="B7" s="11" t="s">
        <v>187</v>
      </c>
      <c r="C7" s="11" t="s">
        <v>188</v>
      </c>
      <c r="D7" s="11"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40"/>
    <col collapsed="false" customWidth="true" hidden="false" outlineLevel="0" max="3" min="3" style="1" width="44"/>
    <col collapsed="false" customWidth="true" hidden="false" outlineLevel="0" max="4" min="4" style="1" width="64"/>
  </cols>
  <sheetData>
    <row r="1" customFormat="false" ht="30" hidden="false" customHeight="true" outlineLevel="0" collapsed="false">
      <c r="A1" s="9" t="s">
        <v>190</v>
      </c>
      <c r="B1" s="9" t="s">
        <v>191</v>
      </c>
      <c r="C1" s="9" t="s">
        <v>192</v>
      </c>
      <c r="D1" s="9" t="s">
        <v>193</v>
      </c>
    </row>
    <row r="2" customFormat="false" ht="23.25" hidden="false" customHeight="true" outlineLevel="0" collapsed="false">
      <c r="A2" s="11" t="s">
        <v>194</v>
      </c>
      <c r="B2" s="11" t="s">
        <v>195</v>
      </c>
      <c r="C2" s="11" t="s">
        <v>196</v>
      </c>
      <c r="D2" s="11" t="s">
        <v>197</v>
      </c>
    </row>
    <row r="3" customFormat="false" ht="23.25" hidden="false" customHeight="true" outlineLevel="0" collapsed="false">
      <c r="A3" s="11" t="s">
        <v>198</v>
      </c>
      <c r="B3" s="11" t="s">
        <v>199</v>
      </c>
      <c r="C3" s="11" t="s">
        <v>200</v>
      </c>
      <c r="D3" s="11" t="s">
        <v>201</v>
      </c>
    </row>
    <row r="4" customFormat="false" ht="15" hidden="false" customHeight="true" outlineLevel="0" collapsed="false">
      <c r="A4" s="11" t="s">
        <v>198</v>
      </c>
      <c r="B4" s="11" t="s">
        <v>202</v>
      </c>
      <c r="C4" s="11" t="s">
        <v>203</v>
      </c>
      <c r="D4" s="11" t="s">
        <v>204</v>
      </c>
    </row>
    <row r="5" customFormat="false" ht="15" hidden="false" customHeight="true" outlineLevel="0" collapsed="false">
      <c r="A5" s="11" t="s">
        <v>205</v>
      </c>
      <c r="B5" s="11" t="s">
        <v>206</v>
      </c>
      <c r="C5" s="11" t="s">
        <v>207</v>
      </c>
      <c r="D5" s="11" t="s">
        <v>208</v>
      </c>
    </row>
    <row r="6" customFormat="false" ht="15" hidden="false" customHeight="true" outlineLevel="0" collapsed="false">
      <c r="A6" s="11" t="s">
        <v>209</v>
      </c>
      <c r="B6" s="11" t="s">
        <v>210</v>
      </c>
      <c r="C6" s="11" t="s">
        <v>211</v>
      </c>
      <c r="D6" s="11" t="s">
        <v>212</v>
      </c>
    </row>
    <row r="7" customFormat="false" ht="23.25" hidden="false" customHeight="true" outlineLevel="0" collapsed="false">
      <c r="A7" s="11" t="s">
        <v>213</v>
      </c>
      <c r="B7" s="11" t="s">
        <v>214</v>
      </c>
      <c r="C7" s="11" t="s">
        <v>215</v>
      </c>
      <c r="D7" s="11"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2026-07-30T14:22:15Z</dcterms:created>
  <dc:creator>openpyxl</dc:creator>
  <dc:description/>
  <dc:language>en-US</dc:language>
  <cp:lastModifiedBy/>
  <dcterms:modified xsi:type="dcterms:W3CDTF">2026-07-30T16:03:00Z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